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rles\Google Drive\Unicamp\2015\1S2015\ES563 - Lab. Maq. Elétricas\ES563\Exp13\"/>
    </mc:Choice>
  </mc:AlternateContent>
  <bookViews>
    <workbookView xWindow="240" yWindow="120" windowWidth="20115" windowHeight="9795"/>
  </bookViews>
  <sheets>
    <sheet name="Plan1" sheetId="1" r:id="rId1"/>
    <sheet name="Plan2" sheetId="2" r:id="rId2"/>
    <sheet name="Plan3" sheetId="3" r:id="rId3"/>
  </sheets>
  <calcPr calcId="152511"/>
</workbook>
</file>

<file path=xl/calcChain.xml><?xml version="1.0" encoding="utf-8"?>
<calcChain xmlns="http://schemas.openxmlformats.org/spreadsheetml/2006/main">
  <c r="B3" i="1" l="1"/>
  <c r="J3" i="1" s="1"/>
  <c r="B4" i="1"/>
  <c r="J4" i="1" s="1"/>
  <c r="B5" i="1"/>
  <c r="J5" i="1" s="1"/>
  <c r="B6" i="1"/>
  <c r="J6" i="1" s="1"/>
  <c r="B2" i="1"/>
  <c r="J2" i="1" s="1"/>
  <c r="E3" i="3" l="1"/>
  <c r="G3" i="3" s="1"/>
  <c r="E4" i="3"/>
  <c r="G4" i="3" s="1"/>
  <c r="E5" i="3"/>
  <c r="G5" i="3" s="1"/>
  <c r="E6" i="3"/>
  <c r="G6" i="3" s="1"/>
  <c r="E2" i="3"/>
  <c r="G2" i="3" s="1"/>
  <c r="C3" i="3"/>
  <c r="D3" i="3" s="1"/>
  <c r="C4" i="3"/>
  <c r="D4" i="3" s="1"/>
  <c r="C5" i="3"/>
  <c r="D5" i="3" s="1"/>
  <c r="C6" i="3"/>
  <c r="D6" i="3" s="1"/>
  <c r="C2" i="3"/>
  <c r="D2" i="3" s="1"/>
  <c r="H3" i="1"/>
  <c r="I3" i="1" s="1"/>
  <c r="K3" i="1" s="1"/>
  <c r="L3" i="1" s="1"/>
  <c r="H4" i="1"/>
  <c r="I4" i="1" s="1"/>
  <c r="K4" i="1" s="1"/>
  <c r="L4" i="1" s="1"/>
  <c r="H5" i="1"/>
  <c r="I5" i="1" s="1"/>
  <c r="K5" i="1" s="1"/>
  <c r="L5" i="1" s="1"/>
  <c r="H6" i="1"/>
  <c r="I6" i="1" s="1"/>
  <c r="K6" i="1" s="1"/>
  <c r="L6" i="1" s="1"/>
  <c r="H2" i="1"/>
  <c r="I2" i="1" s="1"/>
  <c r="K2" i="1" s="1"/>
  <c r="L2" i="1" s="1"/>
  <c r="M2" i="1" s="1"/>
  <c r="F4" i="3" l="1"/>
  <c r="H4" i="3"/>
  <c r="I4" i="3" s="1"/>
  <c r="F3" i="3"/>
  <c r="H3" i="3"/>
  <c r="I3" i="3" s="1"/>
  <c r="F2" i="3"/>
  <c r="H2" i="3"/>
  <c r="I2" i="3" s="1"/>
  <c r="F6" i="3"/>
  <c r="H6" i="3"/>
  <c r="I6" i="3" s="1"/>
  <c r="F5" i="3"/>
  <c r="H5" i="3"/>
  <c r="I5" i="3" s="1"/>
  <c r="J2" i="3" l="1"/>
</calcChain>
</file>

<file path=xl/sharedStrings.xml><?xml version="1.0" encoding="utf-8"?>
<sst xmlns="http://schemas.openxmlformats.org/spreadsheetml/2006/main" count="23" uniqueCount="18">
  <si>
    <t>M1</t>
  </si>
  <si>
    <t>M2</t>
  </si>
  <si>
    <t>M3</t>
  </si>
  <si>
    <t>Média</t>
  </si>
  <si>
    <t>Distância (chapas)</t>
  </si>
  <si>
    <t>M4</t>
  </si>
  <si>
    <t>M5</t>
  </si>
  <si>
    <t>V</t>
  </si>
  <si>
    <t>Distâncias (placas)</t>
  </si>
  <si>
    <t>Massa (kg)</t>
  </si>
  <si>
    <t>Força (N)</t>
  </si>
  <si>
    <t>Distância (mm)</t>
  </si>
  <si>
    <t>F^(1/4)</t>
  </si>
  <si>
    <t>Erro</t>
  </si>
  <si>
    <t>F regressão</t>
  </si>
  <si>
    <t>Soma dos quadrados dos erros</t>
  </si>
  <si>
    <t>Campo</t>
  </si>
  <si>
    <t>Campo regressão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</si>
</sst>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exp"/>
            <c:dispRSqr val="0"/>
            <c:dispEq val="1"/>
            <c:trendlineLbl>
              <c:layout/>
              <c:numFmt formatCode="General" sourceLinked="0"/>
            </c:trendlineLbl>
          </c:trendline>
          <c:xVal>
            <c:numRef>
              <c:f>Plan1!$B$2:$B$6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Plan1!$I$2:$I$6</c:f>
              <c:numCache>
                <c:formatCode>0</c:formatCode>
                <c:ptCount val="5"/>
                <c:pt idx="0">
                  <c:v>286</c:v>
                </c:pt>
                <c:pt idx="1">
                  <c:v>158</c:v>
                </c:pt>
                <c:pt idx="2">
                  <c:v>91.14</c:v>
                </c:pt>
                <c:pt idx="3">
                  <c:v>56.279999999999994</c:v>
                </c:pt>
                <c:pt idx="4">
                  <c:v>38.68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8746320"/>
        <c:axId val="-158754480"/>
      </c:scatterChart>
      <c:valAx>
        <c:axId val="-158746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 (mm)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58754480"/>
        <c:crosses val="autoZero"/>
        <c:crossBetween val="midCat"/>
      </c:valAx>
      <c:valAx>
        <c:axId val="-1587544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Campo (mT)</a:t>
                </a:r>
              </a:p>
            </c:rich>
          </c:tx>
          <c:layout/>
          <c:overlay val="0"/>
        </c:title>
        <c:numFmt formatCode="0" sourceLinked="1"/>
        <c:majorTickMark val="out"/>
        <c:minorTickMark val="none"/>
        <c:tickLblPos val="nextTo"/>
        <c:crossAx val="-1587463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Plan1!$B$2:$B$6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Plan1!$K$2:$K$6</c:f>
              <c:numCache>
                <c:formatCode>0.0</c:formatCode>
                <c:ptCount val="5"/>
                <c:pt idx="0">
                  <c:v>18.25</c:v>
                </c:pt>
                <c:pt idx="1">
                  <c:v>-3.7502872596577674</c:v>
                </c:pt>
                <c:pt idx="2">
                  <c:v>-6.5748662131907025</c:v>
                </c:pt>
                <c:pt idx="3">
                  <c:v>-2.7504675238940237</c:v>
                </c:pt>
                <c:pt idx="4">
                  <c:v>3.0191406944472234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8750672"/>
        <c:axId val="-158743056"/>
      </c:scatterChart>
      <c:valAx>
        <c:axId val="-158750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(mm)</a:t>
                </a:r>
                <a:endParaRPr lang="pt-BR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58743056"/>
        <c:crosses val="autoZero"/>
        <c:crossBetween val="midCat"/>
      </c:valAx>
      <c:valAx>
        <c:axId val="-1587430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Erro (mT)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-1587506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Plan2!$A$2:$A$5</c:f>
              <c:numCache>
                <c:formatCode>General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</c:numCache>
            </c:numRef>
          </c:xVal>
          <c:yVal>
            <c:numRef>
              <c:f>Plan2!$B$2:$B$5</c:f>
              <c:numCache>
                <c:formatCode>General</c:formatCode>
                <c:ptCount val="4"/>
                <c:pt idx="0">
                  <c:v>0.97099999999999997</c:v>
                </c:pt>
                <c:pt idx="1">
                  <c:v>2.62</c:v>
                </c:pt>
                <c:pt idx="2">
                  <c:v>2.93</c:v>
                </c:pt>
                <c:pt idx="3">
                  <c:v>4.4000000000000004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8745232"/>
        <c:axId val="-158741968"/>
      </c:scatterChart>
      <c:valAx>
        <c:axId val="-158745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58741968"/>
        <c:crosses val="autoZero"/>
        <c:crossBetween val="midCat"/>
      </c:valAx>
      <c:valAx>
        <c:axId val="-158741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587452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Força x distância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Plan3!$E$2:$E$6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Plan3!$D$2:$D$6</c:f>
              <c:numCache>
                <c:formatCode>0.0</c:formatCode>
                <c:ptCount val="5"/>
                <c:pt idx="0">
                  <c:v>4.9943333018778899</c:v>
                </c:pt>
                <c:pt idx="1">
                  <c:v>3.6936774558837406</c:v>
                </c:pt>
                <c:pt idx="2">
                  <c:v>2.2402755496838722</c:v>
                </c:pt>
                <c:pt idx="3">
                  <c:v>1.2728838350476548</c:v>
                </c:pt>
                <c:pt idx="4">
                  <c:v>0.74058695857318102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8755568"/>
        <c:axId val="-158756112"/>
      </c:scatterChart>
      <c:valAx>
        <c:axId val="-158755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(mm)</a:t>
                </a:r>
                <a:endParaRPr lang="pt-BR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-158756112"/>
        <c:crosses val="autoZero"/>
        <c:crossBetween val="midCat"/>
      </c:valAx>
      <c:valAx>
        <c:axId val="-1587561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Força (N)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-1587555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Plan3!$E$2:$E$6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Plan3!$F$2:$F$6</c:f>
              <c:numCache>
                <c:formatCode>General</c:formatCode>
                <c:ptCount val="5"/>
                <c:pt idx="0">
                  <c:v>1.4949249165286456</c:v>
                </c:pt>
                <c:pt idx="1">
                  <c:v>1.3863240012326874</c:v>
                </c:pt>
                <c:pt idx="2">
                  <c:v>1.2234193911194822</c:v>
                </c:pt>
                <c:pt idx="3">
                  <c:v>1.0621777329307525</c:v>
                </c:pt>
                <c:pt idx="4">
                  <c:v>0.92767107415314953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8750128"/>
        <c:axId val="-158748496"/>
      </c:scatterChart>
      <c:valAx>
        <c:axId val="-158750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 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158748496"/>
        <c:crosses val="autoZero"/>
        <c:crossBetween val="midCat"/>
      </c:valAx>
      <c:valAx>
        <c:axId val="-1587484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F^(1/4)</a:t>
                </a:r>
                <a:r>
                  <a:rPr lang="pt-BR" baseline="0"/>
                  <a:t> (N^(1/4))</a:t>
                </a:r>
                <a:endParaRPr lang="pt-BR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1587501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Erro (experimental-regressão)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Plan3!$E$2:$E$6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Plan3!$H$2:$H$6</c:f>
              <c:numCache>
                <c:formatCode>0.0</c:formatCode>
                <c:ptCount val="5"/>
                <c:pt idx="0">
                  <c:v>-0.21416967648807184</c:v>
                </c:pt>
                <c:pt idx="1">
                  <c:v>0.22308726432070003</c:v>
                </c:pt>
                <c:pt idx="2">
                  <c:v>3.1470812416735328E-2</c:v>
                </c:pt>
                <c:pt idx="3">
                  <c:v>-5.4157704247298044E-2</c:v>
                </c:pt>
                <c:pt idx="4">
                  <c:v>5.4614290911858543E-4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8749040"/>
        <c:axId val="-158751760"/>
      </c:scatterChart>
      <c:valAx>
        <c:axId val="-15874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 (mm)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158751760"/>
        <c:crosses val="autoZero"/>
        <c:crossBetween val="midCat"/>
      </c:valAx>
      <c:valAx>
        <c:axId val="-1587517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Força (N)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-1587490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10</xdr:row>
      <xdr:rowOff>42862</xdr:rowOff>
    </xdr:from>
    <xdr:to>
      <xdr:col>8</xdr:col>
      <xdr:colOff>409575</xdr:colOff>
      <xdr:row>24</xdr:row>
      <xdr:rowOff>119062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228600</xdr:colOff>
      <xdr:row>9</xdr:row>
      <xdr:rowOff>80962</xdr:rowOff>
    </xdr:from>
    <xdr:to>
      <xdr:col>16</xdr:col>
      <xdr:colOff>533400</xdr:colOff>
      <xdr:row>23</xdr:row>
      <xdr:rowOff>157162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9</xdr:row>
      <xdr:rowOff>23812</xdr:rowOff>
    </xdr:from>
    <xdr:to>
      <xdr:col>14</xdr:col>
      <xdr:colOff>161925</xdr:colOff>
      <xdr:row>23</xdr:row>
      <xdr:rowOff>100012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409575</xdr:colOff>
      <xdr:row>0</xdr:row>
      <xdr:rowOff>119062</xdr:rowOff>
    </xdr:from>
    <xdr:to>
      <xdr:col>20</xdr:col>
      <xdr:colOff>104775</xdr:colOff>
      <xdr:row>15</xdr:row>
      <xdr:rowOff>4762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7</xdr:row>
      <xdr:rowOff>147637</xdr:rowOff>
    </xdr:from>
    <xdr:to>
      <xdr:col>7</xdr:col>
      <xdr:colOff>9525</xdr:colOff>
      <xdr:row>22</xdr:row>
      <xdr:rowOff>33337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466725</xdr:colOff>
      <xdr:row>6</xdr:row>
      <xdr:rowOff>176212</xdr:rowOff>
    </xdr:from>
    <xdr:to>
      <xdr:col>14</xdr:col>
      <xdr:colOff>161925</xdr:colOff>
      <xdr:row>21</xdr:row>
      <xdr:rowOff>61912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N5" sqref="N5"/>
    </sheetView>
  </sheetViews>
  <sheetFormatPr defaultRowHeight="15" x14ac:dyDescent="0.25"/>
  <sheetData>
    <row r="1" spans="1:13" x14ac:dyDescent="0.25">
      <c r="A1" t="s">
        <v>4</v>
      </c>
      <c r="B1" t="s">
        <v>11</v>
      </c>
      <c r="C1" t="s">
        <v>0</v>
      </c>
      <c r="D1" t="s">
        <v>1</v>
      </c>
      <c r="E1" t="s">
        <v>2</v>
      </c>
      <c r="F1" t="s">
        <v>5</v>
      </c>
      <c r="G1" t="s">
        <v>6</v>
      </c>
      <c r="H1" t="s">
        <v>3</v>
      </c>
      <c r="I1" t="s">
        <v>16</v>
      </c>
      <c r="J1" t="s">
        <v>17</v>
      </c>
      <c r="K1" t="s">
        <v>13</v>
      </c>
      <c r="M1" t="s">
        <v>15</v>
      </c>
    </row>
    <row r="2" spans="1:13" x14ac:dyDescent="0.25">
      <c r="A2">
        <v>0</v>
      </c>
      <c r="B2">
        <f>2*A2</f>
        <v>0</v>
      </c>
      <c r="C2">
        <v>-327</v>
      </c>
      <c r="D2">
        <v>-288</v>
      </c>
      <c r="E2">
        <v>-220</v>
      </c>
      <c r="F2">
        <v>-280</v>
      </c>
      <c r="G2">
        <v>-315</v>
      </c>
      <c r="H2" s="2">
        <f>AVERAGE(C2:G2)</f>
        <v>-286</v>
      </c>
      <c r="I2" s="2">
        <f>-H2</f>
        <v>286</v>
      </c>
      <c r="J2" s="2">
        <f>267.75*EXP(-0.252*B2)</f>
        <v>267.75</v>
      </c>
      <c r="K2" s="1">
        <f>I2-J2</f>
        <v>18.25</v>
      </c>
      <c r="L2">
        <f>K2*K2</f>
        <v>333.0625</v>
      </c>
      <c r="M2">
        <f>SUM(L2:L6)</f>
        <v>407.03630238417105</v>
      </c>
    </row>
    <row r="3" spans="1:13" x14ac:dyDescent="0.25">
      <c r="A3">
        <v>1</v>
      </c>
      <c r="B3">
        <f t="shared" ref="B3:B6" si="0">2*A3</f>
        <v>2</v>
      </c>
      <c r="C3">
        <v>-171</v>
      </c>
      <c r="D3">
        <v>-162</v>
      </c>
      <c r="E3">
        <v>-155</v>
      </c>
      <c r="F3">
        <v>-170</v>
      </c>
      <c r="G3">
        <v>-132</v>
      </c>
      <c r="H3" s="2">
        <f t="shared" ref="H3:H6" si="1">AVERAGE(C3:G3)</f>
        <v>-158</v>
      </c>
      <c r="I3" s="2">
        <f t="shared" ref="I3:I6" si="2">-H3</f>
        <v>158</v>
      </c>
      <c r="J3" s="2">
        <f t="shared" ref="J3:J6" si="3">267.75*EXP(-0.252*B3)</f>
        <v>161.75028725965777</v>
      </c>
      <c r="K3" s="1">
        <f t="shared" ref="K3:K6" si="4">I3-J3</f>
        <v>-3.7502872596577674</v>
      </c>
      <c r="L3">
        <f t="shared" ref="L3:L6" si="5">K3*K3</f>
        <v>14.064654529951367</v>
      </c>
    </row>
    <row r="4" spans="1:13" x14ac:dyDescent="0.25">
      <c r="A4">
        <v>2</v>
      </c>
      <c r="B4">
        <f t="shared" si="0"/>
        <v>4</v>
      </c>
      <c r="C4">
        <v>-86</v>
      </c>
      <c r="D4">
        <v>-91.9</v>
      </c>
      <c r="E4">
        <v>-93.1</v>
      </c>
      <c r="F4">
        <v>-92.5</v>
      </c>
      <c r="G4">
        <v>-92.2</v>
      </c>
      <c r="H4" s="2">
        <f t="shared" si="1"/>
        <v>-91.14</v>
      </c>
      <c r="I4" s="2">
        <f t="shared" si="2"/>
        <v>91.14</v>
      </c>
      <c r="J4" s="2">
        <f t="shared" si="3"/>
        <v>97.714866213190703</v>
      </c>
      <c r="K4" s="1">
        <f t="shared" si="4"/>
        <v>-6.5748662131907025</v>
      </c>
      <c r="L4">
        <f t="shared" si="5"/>
        <v>43.228865721356648</v>
      </c>
    </row>
    <row r="5" spans="1:13" x14ac:dyDescent="0.25">
      <c r="A5">
        <v>3</v>
      </c>
      <c r="B5">
        <f t="shared" si="0"/>
        <v>6</v>
      </c>
      <c r="C5">
        <v>-51.1</v>
      </c>
      <c r="D5">
        <v>-57.5</v>
      </c>
      <c r="E5">
        <v>-58.8</v>
      </c>
      <c r="F5">
        <v>-59</v>
      </c>
      <c r="G5">
        <v>-55</v>
      </c>
      <c r="H5" s="2">
        <f t="shared" si="1"/>
        <v>-56.279999999999994</v>
      </c>
      <c r="I5" s="2">
        <f t="shared" si="2"/>
        <v>56.279999999999994</v>
      </c>
      <c r="J5" s="2">
        <f t="shared" si="3"/>
        <v>59.030467523894018</v>
      </c>
      <c r="K5" s="1">
        <f t="shared" si="4"/>
        <v>-2.7504675238940237</v>
      </c>
      <c r="L5">
        <f t="shared" si="5"/>
        <v>7.5650715999957221</v>
      </c>
    </row>
    <row r="6" spans="1:13" x14ac:dyDescent="0.25">
      <c r="A6">
        <v>4</v>
      </c>
      <c r="B6">
        <f t="shared" si="0"/>
        <v>8</v>
      </c>
      <c r="C6">
        <v>-36</v>
      </c>
      <c r="D6">
        <v>-38.5</v>
      </c>
      <c r="E6">
        <v>-40.200000000000003</v>
      </c>
      <c r="F6">
        <v>-39.700000000000003</v>
      </c>
      <c r="G6">
        <v>-39</v>
      </c>
      <c r="H6" s="2">
        <f t="shared" si="1"/>
        <v>-38.68</v>
      </c>
      <c r="I6" s="2">
        <f t="shared" si="2"/>
        <v>38.68</v>
      </c>
      <c r="J6" s="2">
        <f t="shared" si="3"/>
        <v>35.660859305552776</v>
      </c>
      <c r="K6" s="1">
        <f t="shared" si="4"/>
        <v>3.0191406944472234</v>
      </c>
      <c r="L6">
        <f t="shared" si="5"/>
        <v>9.1152105328672626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5" sqref="B5"/>
    </sheetView>
  </sheetViews>
  <sheetFormatPr defaultRowHeight="15" x14ac:dyDescent="0.25"/>
  <sheetData>
    <row r="1" spans="1:2" x14ac:dyDescent="0.25">
      <c r="A1" t="s">
        <v>9</v>
      </c>
      <c r="B1" t="s">
        <v>7</v>
      </c>
    </row>
    <row r="2" spans="1:2" x14ac:dyDescent="0.25">
      <c r="A2">
        <v>0.5</v>
      </c>
      <c r="B2">
        <v>0.97099999999999997</v>
      </c>
    </row>
    <row r="3" spans="1:2" x14ac:dyDescent="0.25">
      <c r="A3">
        <v>1</v>
      </c>
      <c r="B3">
        <v>2.62</v>
      </c>
    </row>
    <row r="4" spans="1:2" x14ac:dyDescent="0.25">
      <c r="A4">
        <v>1.5</v>
      </c>
      <c r="B4">
        <v>2.93</v>
      </c>
    </row>
    <row r="5" spans="1:2" x14ac:dyDescent="0.25">
      <c r="A5">
        <v>2</v>
      </c>
      <c r="B5">
        <v>4.4000000000000004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 x14ac:dyDescent="0.25"/>
  <sheetData>
    <row r="1" spans="1:10" x14ac:dyDescent="0.25">
      <c r="A1" t="s">
        <v>8</v>
      </c>
      <c r="B1" t="s">
        <v>7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13</v>
      </c>
      <c r="J1" t="s">
        <v>15</v>
      </c>
    </row>
    <row r="2" spans="1:10" x14ac:dyDescent="0.25">
      <c r="A2">
        <v>1</v>
      </c>
      <c r="B2">
        <v>1.1599999999999999</v>
      </c>
      <c r="C2" s="3">
        <f>(B2-0.081)/2.1194</f>
        <v>0.50910635085401523</v>
      </c>
      <c r="D2" s="1">
        <f>C2*9.81</f>
        <v>4.9943333018778899</v>
      </c>
      <c r="E2">
        <f>2*A2</f>
        <v>2</v>
      </c>
      <c r="F2">
        <f>POWER(D2,1/4)</f>
        <v>1.4949249165286456</v>
      </c>
      <c r="G2">
        <f>(-0.0729*E2 + 1.6565)^4</f>
        <v>5.2085029783659618</v>
      </c>
      <c r="H2" s="1">
        <f>D2-G2</f>
        <v>-0.21416967648807184</v>
      </c>
      <c r="I2">
        <f>H2*H2</f>
        <v>4.586865032700535E-2</v>
      </c>
      <c r="J2">
        <f>SUM(I2:I6)</f>
        <v>9.9560345064683559E-2</v>
      </c>
    </row>
    <row r="3" spans="1:10" x14ac:dyDescent="0.25">
      <c r="A3">
        <v>2</v>
      </c>
      <c r="B3">
        <v>0.879</v>
      </c>
      <c r="C3" s="3">
        <f t="shared" ref="C3:C6" si="0">(B3-0.081)/2.1194</f>
        <v>0.37652165707275642</v>
      </c>
      <c r="D3" s="1">
        <f t="shared" ref="D3:D6" si="1">C3*9.81</f>
        <v>3.6936774558837406</v>
      </c>
      <c r="E3">
        <f t="shared" ref="E3:E6" si="2">2*A3</f>
        <v>4</v>
      </c>
      <c r="F3">
        <f t="shared" ref="F3:F6" si="3">POWER(D3,1/4)</f>
        <v>1.3863240012326874</v>
      </c>
      <c r="G3">
        <f t="shared" ref="G3:G6" si="4">(-0.0729*E3 + 1.6565)^4</f>
        <v>3.4705901915630406</v>
      </c>
      <c r="H3" s="1">
        <f t="shared" ref="H3:H6" si="5">D3-G3</f>
        <v>0.22308726432070003</v>
      </c>
      <c r="I3">
        <f t="shared" ref="I3:I6" si="6">H3*H3</f>
        <v>4.9767927502093884E-2</v>
      </c>
    </row>
    <row r="4" spans="1:10" x14ac:dyDescent="0.25">
      <c r="A4">
        <v>3</v>
      </c>
      <c r="B4">
        <v>0.56499999999999995</v>
      </c>
      <c r="C4" s="3">
        <f t="shared" si="0"/>
        <v>0.2283665188260828</v>
      </c>
      <c r="D4" s="1">
        <f t="shared" si="1"/>
        <v>2.2402755496838722</v>
      </c>
      <c r="E4">
        <f t="shared" si="2"/>
        <v>6</v>
      </c>
      <c r="F4">
        <f t="shared" si="3"/>
        <v>1.2234193911194822</v>
      </c>
      <c r="G4">
        <f t="shared" si="4"/>
        <v>2.2088047372671369</v>
      </c>
      <c r="H4" s="1">
        <f t="shared" si="5"/>
        <v>3.1470812416735328E-2</v>
      </c>
      <c r="I4">
        <f t="shared" si="6"/>
        <v>9.9041203416934246E-4</v>
      </c>
    </row>
    <row r="5" spans="1:10" x14ac:dyDescent="0.25">
      <c r="A5">
        <v>4</v>
      </c>
      <c r="B5">
        <v>0.35599999999999998</v>
      </c>
      <c r="C5" s="3">
        <f t="shared" si="0"/>
        <v>0.12975370387845614</v>
      </c>
      <c r="D5" s="1">
        <f t="shared" si="1"/>
        <v>1.2728838350476548</v>
      </c>
      <c r="E5">
        <f t="shared" si="2"/>
        <v>8</v>
      </c>
      <c r="F5">
        <f t="shared" si="3"/>
        <v>1.0621777329307525</v>
      </c>
      <c r="G5">
        <f t="shared" si="4"/>
        <v>1.3270415392949528</v>
      </c>
      <c r="H5" s="1">
        <f t="shared" si="5"/>
        <v>-5.4157704247298044E-2</v>
      </c>
      <c r="I5">
        <f t="shared" si="6"/>
        <v>2.9330569293378045E-3</v>
      </c>
    </row>
    <row r="6" spans="1:10" x14ac:dyDescent="0.25">
      <c r="A6">
        <v>5</v>
      </c>
      <c r="B6">
        <v>0.24099999999999999</v>
      </c>
      <c r="C6" s="3">
        <f t="shared" si="0"/>
        <v>7.5493064074738117E-2</v>
      </c>
      <c r="D6" s="1">
        <f t="shared" si="1"/>
        <v>0.74058695857318102</v>
      </c>
      <c r="E6">
        <f t="shared" si="2"/>
        <v>10</v>
      </c>
      <c r="F6">
        <f t="shared" si="3"/>
        <v>0.92767107415314953</v>
      </c>
      <c r="G6">
        <f t="shared" si="4"/>
        <v>0.74004081566406243</v>
      </c>
      <c r="H6" s="1">
        <f t="shared" si="5"/>
        <v>5.4614290911858543E-4</v>
      </c>
      <c r="I6">
        <f t="shared" si="6"/>
        <v>2.9827207718051146E-7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Souza</dc:creator>
  <cp:lastModifiedBy>Windows User</cp:lastModifiedBy>
  <dcterms:created xsi:type="dcterms:W3CDTF">2015-06-16T22:21:49Z</dcterms:created>
  <dcterms:modified xsi:type="dcterms:W3CDTF">2015-06-21T00:48:02Z</dcterms:modified>
</cp:coreProperties>
</file>