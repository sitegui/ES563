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bookViews>
    <workbookView xWindow="240" yWindow="105" windowWidth="14805" windowHeight="8010"/>
  </bookViews>
  <sheets>
    <sheet name="Planilha1" sheetId="1" r:id="rId1"/>
  </sheets>
  <calcPr calcId="162912"/>
</workbook>
</file>

<file path=xl/calcChain.xml><?xml version="1.0" encoding="utf-8"?>
<calcChain xmlns="http://schemas.openxmlformats.org/spreadsheetml/2006/main">
  <c r="F15" i="1" l="1"/>
  <c r="F14" i="1"/>
  <c r="C23" i="1"/>
  <c r="C20" i="1"/>
  <c r="C18" i="1"/>
  <c r="C17" i="1"/>
  <c r="C14" i="1"/>
  <c r="G9" i="1"/>
  <c r="F9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E9" i="1"/>
  <c r="E3" i="1"/>
  <c r="E4" i="1"/>
  <c r="E5" i="1"/>
  <c r="E6" i="1"/>
  <c r="E7" i="1"/>
  <c r="E8" i="1"/>
  <c r="E2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<sst xmlns="http://schemas.openxmlformats.org/spreadsheetml/2006/main" count="21" uniqueCount="21">
  <si>
    <t>Va</t>
  </si>
  <si>
    <t>Ia</t>
  </si>
  <si>
    <t>n</t>
  </si>
  <si>
    <t>w</t>
  </si>
  <si>
    <t>ke</t>
  </si>
  <si>
    <t>E</t>
  </si>
  <si>
    <t>B</t>
  </si>
  <si>
    <t>Médios =</t>
  </si>
  <si>
    <t>Ra</t>
  </si>
  <si>
    <t>Rs</t>
  </si>
  <si>
    <t>RD</t>
  </si>
  <si>
    <t>La</t>
  </si>
  <si>
    <t>Io</t>
  </si>
  <si>
    <t>J</t>
  </si>
  <si>
    <t>Ip</t>
  </si>
  <si>
    <t>Gama</t>
  </si>
  <si>
    <t>Ia(tm)</t>
  </si>
  <si>
    <t>tm</t>
  </si>
  <si>
    <t>TalM</t>
  </si>
  <si>
    <t>te</t>
  </si>
  <si>
    <t>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</si>
</sst>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/>
  </sheetViews>
  <sheetFormatPr defaultRowHeight="15"/>
  <cols>
    <col min="6" max="7" width="12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0.45</v>
      </c>
      <c r="C2">
        <v>1600</v>
      </c>
      <c r="D2">
        <f>(C2*2*PI())/60</f>
        <v>167.55160819145564</v>
      </c>
      <c r="E2">
        <f>(A2-B2*5.29)/D2</f>
        <v>4.5475540833326118E-2</v>
      </c>
      <c r="F2">
        <f>E2*D2</f>
        <v>7.6195000000000004</v>
      </c>
      <c r="G2">
        <f>(F2*B2)/(D2^2)</f>
        <v>1.2213546378864494E-4</v>
      </c>
    </row>
    <row r="3" spans="1:7">
      <c r="A3">
        <v>11</v>
      </c>
      <c r="B3">
        <v>0.46</v>
      </c>
      <c r="C3">
        <v>1860</v>
      </c>
      <c r="D3">
        <f t="shared" ref="D3:D8" si="0">(C3*2*PI())/60</f>
        <v>194.77874452256717</v>
      </c>
      <c r="E3">
        <f t="shared" ref="E3:E8" si="1">(A3-B3*5.29)/D3</f>
        <v>4.3981185015839697E-2</v>
      </c>
      <c r="F3">
        <f t="shared" ref="F3:F8" si="2">E3*D3</f>
        <v>8.5665999999999993</v>
      </c>
      <c r="G3">
        <f t="shared" ref="G3:G8" si="3">(F3*B3)/(D3^2)</f>
        <v>1.0386834126524647E-4</v>
      </c>
    </row>
    <row r="4" spans="1:7">
      <c r="A4">
        <v>12</v>
      </c>
      <c r="B4">
        <v>0.47</v>
      </c>
      <c r="C4">
        <v>2070</v>
      </c>
      <c r="D4">
        <f t="shared" si="0"/>
        <v>216.76989309769573</v>
      </c>
      <c r="E4">
        <f t="shared" si="1"/>
        <v>4.3888474843285931E-2</v>
      </c>
      <c r="F4">
        <f t="shared" si="2"/>
        <v>9.5137</v>
      </c>
      <c r="G4">
        <f t="shared" si="3"/>
        <v>9.5158893523316778E-5</v>
      </c>
    </row>
    <row r="5" spans="1:7">
      <c r="A5">
        <v>13</v>
      </c>
      <c r="B5">
        <v>0.47</v>
      </c>
      <c r="C5">
        <v>2340</v>
      </c>
      <c r="D5">
        <f t="shared" si="0"/>
        <v>245.04422698000386</v>
      </c>
      <c r="E5">
        <f t="shared" si="1"/>
        <v>4.2905316030391286E-2</v>
      </c>
      <c r="F5">
        <f t="shared" si="2"/>
        <v>10.5137</v>
      </c>
      <c r="G5">
        <f t="shared" si="3"/>
        <v>8.2293301837016759E-5</v>
      </c>
    </row>
    <row r="6" spans="1:7">
      <c r="A6">
        <v>14</v>
      </c>
      <c r="B6">
        <v>0.49</v>
      </c>
      <c r="C6">
        <v>2570</v>
      </c>
      <c r="D6">
        <f t="shared" si="0"/>
        <v>269.12977065752563</v>
      </c>
      <c r="E6">
        <f t="shared" si="1"/>
        <v>4.2388101368825669E-2</v>
      </c>
      <c r="F6">
        <f t="shared" si="2"/>
        <v>11.4079</v>
      </c>
      <c r="G6">
        <f t="shared" si="3"/>
        <v>7.7175295843264903E-5</v>
      </c>
    </row>
    <row r="7" spans="1:7">
      <c r="A7">
        <v>15</v>
      </c>
      <c r="B7">
        <v>0.49</v>
      </c>
      <c r="C7">
        <v>2830</v>
      </c>
      <c r="D7">
        <f t="shared" si="0"/>
        <v>296.35690698863715</v>
      </c>
      <c r="E7">
        <f t="shared" si="1"/>
        <v>4.1868097916394238E-2</v>
      </c>
      <c r="F7">
        <f t="shared" si="2"/>
        <v>12.4079</v>
      </c>
      <c r="G7">
        <f t="shared" si="3"/>
        <v>6.9225206145844185E-5</v>
      </c>
    </row>
    <row r="8" spans="1:7">
      <c r="A8">
        <v>16</v>
      </c>
      <c r="B8">
        <v>0.5</v>
      </c>
      <c r="C8">
        <v>3070</v>
      </c>
      <c r="D8">
        <f t="shared" si="0"/>
        <v>321.48964821735547</v>
      </c>
      <c r="E8">
        <f t="shared" si="1"/>
        <v>4.1540995407014905E-2</v>
      </c>
      <c r="F8">
        <f t="shared" si="2"/>
        <v>13.355</v>
      </c>
      <c r="G8">
        <f t="shared" si="3"/>
        <v>6.4607049771832028E-5</v>
      </c>
    </row>
    <row r="9" spans="1:7">
      <c r="D9" t="s">
        <v>7</v>
      </c>
      <c r="E9">
        <f>AVERAGE(E2:E8)</f>
        <v>4.3149673059296838E-2</v>
      </c>
      <c r="F9">
        <f>AVERAGE(F2:F8)</f>
        <v>10.483471428571429</v>
      </c>
      <c r="G9">
        <f>AVERAGE(G2:G8)</f>
        <v>8.7780507453595152E-5</v>
      </c>
    </row>
    <row r="12" spans="1:7">
      <c r="B12" t="s">
        <v>8</v>
      </c>
      <c r="C12">
        <v>5.29</v>
      </c>
    </row>
    <row r="13" spans="1:7">
      <c r="B13" t="s">
        <v>9</v>
      </c>
      <c r="C13">
        <v>2.2999999999999998</v>
      </c>
    </row>
    <row r="14" spans="1:7">
      <c r="B14" t="s">
        <v>10</v>
      </c>
      <c r="C14">
        <f>(18/C15)-(C12+C13)</f>
        <v>112.41</v>
      </c>
      <c r="E14" t="s">
        <v>11</v>
      </c>
      <c r="F14">
        <f>C23*C12</f>
        <v>1.8434848484848488E-2</v>
      </c>
    </row>
    <row r="15" spans="1:7">
      <c r="B15" t="s">
        <v>12</v>
      </c>
      <c r="C15">
        <v>0.15</v>
      </c>
      <c r="E15" t="s">
        <v>13</v>
      </c>
      <c r="F15">
        <f>C20*G9</f>
        <v>6.1180353679778447E-7</v>
      </c>
    </row>
    <row r="16" spans="1:7">
      <c r="B16" t="s">
        <v>14</v>
      </c>
      <c r="C16">
        <v>0.64</v>
      </c>
    </row>
    <row r="17" spans="2:3">
      <c r="B17" t="s">
        <v>15</v>
      </c>
      <c r="C17">
        <f>(C12/(C12+C14))+(C14/(C12+C14))/2.718</f>
        <v>0.39632638822463667</v>
      </c>
    </row>
    <row r="18" spans="2:3">
      <c r="B18" t="s">
        <v>16</v>
      </c>
      <c r="C18">
        <f>C17*C16</f>
        <v>0.25364888846376749</v>
      </c>
    </row>
    <row r="19" spans="2:3">
      <c r="B19" t="s">
        <v>17</v>
      </c>
      <c r="C19">
        <v>0.01</v>
      </c>
    </row>
    <row r="20" spans="2:3">
      <c r="B20" t="s">
        <v>18</v>
      </c>
      <c r="C20">
        <f>C19*C12/(C12+C13)</f>
        <v>6.9696969696969703E-3</v>
      </c>
    </row>
    <row r="22" spans="2:3">
      <c r="B22" t="s">
        <v>19</v>
      </c>
      <c r="C22">
        <v>5.0000000000000001E-3</v>
      </c>
    </row>
    <row r="23" spans="2:3">
      <c r="B23" t="s">
        <v>20</v>
      </c>
      <c r="C23">
        <f>C22*C12/(C12+C13)</f>
        <v>3.4848484848484852E-3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2015-04-17T21:07:00Z</dcterms:modified>
</cp:coreProperties>
</file>