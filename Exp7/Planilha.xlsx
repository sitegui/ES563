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1075" windowHeight="9975" activeTab="1"/>
  </bookViews>
  <sheets>
    <sheet name="Velocidade" sheetId="1" r:id="rId1"/>
    <sheet name="Torque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5" i="2"/>
  <c r="I4" i="2"/>
  <c r="I3" i="2"/>
  <c r="I4" i="1" l="1"/>
  <c r="I3" i="1" l="1"/>
  <c r="I6" i="1"/>
  <c r="I7" i="1" s="1"/>
  <c r="I8" i="1" l="1"/>
  <c r="I9" i="1"/>
  <c r="I11" i="1"/>
  <c r="I10" i="1" l="1"/>
</calcChain>
</file>

<file path=xl/sharedStrings.xml><?xml version="1.0" encoding="utf-8"?>
<sst xmlns="http://schemas.openxmlformats.org/spreadsheetml/2006/main" count="94" uniqueCount="54">
  <si>
    <t>Vo</t>
  </si>
  <si>
    <t>Io</t>
  </si>
  <si>
    <t>Ωo</t>
  </si>
  <si>
    <t>Ra</t>
  </si>
  <si>
    <t>Vb</t>
  </si>
  <si>
    <t>Rh</t>
  </si>
  <si>
    <t>KE</t>
  </si>
  <si>
    <t>E</t>
  </si>
  <si>
    <t>Ia</t>
  </si>
  <si>
    <t>Pout</t>
  </si>
  <si>
    <t>Pin</t>
  </si>
  <si>
    <t>η</t>
  </si>
  <si>
    <t>T</t>
  </si>
  <si>
    <t>Ω</t>
  </si>
  <si>
    <t xml:space="preserve">(Vo-Vb)/Io - Ra = </t>
  </si>
  <si>
    <t xml:space="preserve">KE.Ω = </t>
  </si>
  <si>
    <t xml:space="preserve">(Vo - Vb - E)/Ra = </t>
  </si>
  <si>
    <t xml:space="preserve">E.Ia - E²/Rh = </t>
  </si>
  <si>
    <t xml:space="preserve">Vo.Ia = </t>
  </si>
  <si>
    <t xml:space="preserve">Pout/Pin = </t>
  </si>
  <si>
    <t xml:space="preserve">(Ia - E/Rh) = </t>
  </si>
  <si>
    <t xml:space="preserve">Ω + ΔΩ = </t>
  </si>
  <si>
    <t>??? -&gt;</t>
  </si>
  <si>
    <t>??</t>
  </si>
  <si>
    <t>Ω = 0, E = 0 ??</t>
  </si>
  <si>
    <t>Ra=Resistência da armadura [ohms]</t>
  </si>
  <si>
    <t>Rh=Resistência que representa as perdas no cobre e outras perdas [ohms]</t>
  </si>
  <si>
    <t>KM=Constante de torque do motor [newton.metro/ampere]</t>
  </si>
  <si>
    <t>KE=Constante de força contraeletromotriz do motor [volts.seg/rad]</t>
  </si>
  <si>
    <t>Vb=Queda de tensão nas escovas [volts]</t>
  </si>
  <si>
    <t>Vo =Tensão da fonte do motor [volts]</t>
  </si>
  <si>
    <t>Io=Corrente do motor sem carga [amperes]</t>
  </si>
  <si>
    <t>Ωo=Velocidade do motor sem carga [rad/seg]</t>
  </si>
  <si>
    <t>ΔΩ=Incremento de velocidade [rad/seg]</t>
  </si>
  <si>
    <t>Ω=Velocidade angular [rad/seg]</t>
  </si>
  <si>
    <t>E=Forca contraeletromotriz [volts]</t>
  </si>
  <si>
    <r>
      <t>I</t>
    </r>
    <r>
      <rPr>
        <sz val="8"/>
        <color theme="1"/>
        <rFont val="TimesNewRoman"/>
      </rPr>
      <t>a</t>
    </r>
    <r>
      <rPr>
        <sz val="12"/>
        <color theme="1"/>
        <rFont val="TimesNewRoman"/>
      </rPr>
      <t>=Corrente de armadura [amperes]</t>
    </r>
  </si>
  <si>
    <r>
      <t>P</t>
    </r>
    <r>
      <rPr>
        <sz val="8"/>
        <color theme="1"/>
        <rFont val="TimesNewRoman"/>
      </rPr>
      <t>out</t>
    </r>
    <r>
      <rPr>
        <sz val="12"/>
        <color theme="1"/>
        <rFont val="TimesNewRoman"/>
      </rPr>
      <t>=Potencia de saida do motor [watts]</t>
    </r>
  </si>
  <si>
    <r>
      <t>P</t>
    </r>
    <r>
      <rPr>
        <sz val="8"/>
        <color theme="1"/>
        <rFont val="TimesNewRoman"/>
      </rPr>
      <t>in</t>
    </r>
    <r>
      <rPr>
        <sz val="12"/>
        <color theme="1"/>
        <rFont val="TimesNewRoman"/>
      </rPr>
      <t>=Potencia de entrada do motor [watts]</t>
    </r>
  </si>
  <si>
    <t>η=Eficiencia do motor [%]</t>
  </si>
  <si>
    <t>T=Torque do motor [newton.metro]</t>
  </si>
  <si>
    <t>Valores calculados em Função da Velocidade</t>
  </si>
  <si>
    <t>Valores calculados em Função do Torque</t>
  </si>
  <si>
    <t>Rh.Io/Ωo =</t>
  </si>
  <si>
    <t>Medir - F. Velocidade</t>
  </si>
  <si>
    <t>Medir - F. Torque</t>
  </si>
  <si>
    <t>Tmax</t>
  </si>
  <si>
    <t>KM=KE</t>
  </si>
  <si>
    <t xml:space="preserve">KM.(Vo-Vb)/Ra = </t>
  </si>
  <si>
    <t>T = 0</t>
  </si>
  <si>
    <t xml:space="preserve">[(Vo-Vb).Rh - (Ra.Rh.T/KM)]/[KE(Ra+Rh)] = </t>
  </si>
  <si>
    <t xml:space="preserve">T = </t>
  </si>
  <si>
    <t xml:space="preserve">T + ΔT = </t>
  </si>
  <si>
    <t xml:space="preserve">T.Ω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</si>
</sst>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TimesNewRoman"/>
    </font>
    <font>
      <sz val="8"/>
      <color theme="1"/>
      <name val="TimesNewRoman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workbookViewId="0">
      <selection activeCell="L26" sqref="L26"/>
    </sheetView>
  </sheetViews>
  <sheetFormatPr defaultRowHeight="15"/>
  <cols>
    <col min="1" max="1" width="13.5703125" customWidth="1"/>
    <col min="2" max="2" width="8.42578125" customWidth="1"/>
    <col min="6" max="6" width="12.5703125" bestFit="1" customWidth="1"/>
    <col min="7" max="8" width="17.85546875" bestFit="1" customWidth="1"/>
    <col min="9" max="9" width="8.7109375" bestFit="1" customWidth="1"/>
    <col min="12" max="12" width="67.85546875" bestFit="1" customWidth="1"/>
  </cols>
  <sheetData>
    <row r="2" spans="1:12">
      <c r="A2" s="8" t="s">
        <v>44</v>
      </c>
      <c r="B2" s="8"/>
      <c r="G2" s="9" t="s">
        <v>41</v>
      </c>
      <c r="H2" s="9"/>
      <c r="I2" s="9"/>
      <c r="L2" t="s">
        <v>30</v>
      </c>
    </row>
    <row r="3" spans="1:12">
      <c r="A3" s="1" t="s">
        <v>0</v>
      </c>
      <c r="B3" s="1">
        <v>1</v>
      </c>
      <c r="G3" s="6" t="s">
        <v>14</v>
      </c>
      <c r="H3" s="3" t="s">
        <v>5</v>
      </c>
      <c r="I3" s="1">
        <f>((B3-B7)/B4) - B6</f>
        <v>-1</v>
      </c>
      <c r="L3" t="s">
        <v>29</v>
      </c>
    </row>
    <row r="4" spans="1:12">
      <c r="A4" s="1" t="s">
        <v>1</v>
      </c>
      <c r="B4" s="1">
        <v>1</v>
      </c>
      <c r="G4" s="6" t="s">
        <v>43</v>
      </c>
      <c r="H4" s="3" t="s">
        <v>6</v>
      </c>
      <c r="I4" s="1">
        <f>(I3*B4)/B5</f>
        <v>-1</v>
      </c>
      <c r="L4" t="s">
        <v>25</v>
      </c>
    </row>
    <row r="5" spans="1:12">
      <c r="A5" s="2" t="s">
        <v>2</v>
      </c>
      <c r="B5" s="1">
        <v>1</v>
      </c>
      <c r="G5" s="6" t="s">
        <v>13</v>
      </c>
      <c r="H5" s="3" t="s">
        <v>13</v>
      </c>
      <c r="I5" s="1">
        <v>5</v>
      </c>
      <c r="L5" t="s">
        <v>31</v>
      </c>
    </row>
    <row r="6" spans="1:12">
      <c r="A6" s="2" t="s">
        <v>3</v>
      </c>
      <c r="B6" s="1">
        <v>1</v>
      </c>
      <c r="F6" t="s">
        <v>24</v>
      </c>
      <c r="G6" s="6" t="s">
        <v>15</v>
      </c>
      <c r="H6" s="3" t="s">
        <v>7</v>
      </c>
      <c r="I6" s="1">
        <f>I4*I5</f>
        <v>-5</v>
      </c>
      <c r="L6" t="s">
        <v>32</v>
      </c>
    </row>
    <row r="7" spans="1:12">
      <c r="A7" s="2" t="s">
        <v>4</v>
      </c>
      <c r="B7" s="1">
        <v>1</v>
      </c>
      <c r="G7" s="6" t="s">
        <v>16</v>
      </c>
      <c r="H7" s="3" t="s">
        <v>8</v>
      </c>
      <c r="I7" s="1">
        <f>(B3-B7-I6)/B6</f>
        <v>5</v>
      </c>
    </row>
    <row r="8" spans="1:12">
      <c r="G8" s="6" t="s">
        <v>17</v>
      </c>
      <c r="H8" s="3" t="s">
        <v>9</v>
      </c>
      <c r="I8" s="1">
        <f>(I6*I7) - (I6*I6)/I3</f>
        <v>0</v>
      </c>
      <c r="L8" t="s">
        <v>33</v>
      </c>
    </row>
    <row r="9" spans="1:12">
      <c r="G9" s="6" t="s">
        <v>18</v>
      </c>
      <c r="H9" s="3" t="s">
        <v>10</v>
      </c>
      <c r="I9" s="1">
        <f>B3*I7</f>
        <v>5</v>
      </c>
      <c r="L9" t="s">
        <v>26</v>
      </c>
    </row>
    <row r="10" spans="1:12">
      <c r="G10" s="7" t="s">
        <v>19</v>
      </c>
      <c r="H10" s="4" t="s">
        <v>11</v>
      </c>
      <c r="I10" s="1">
        <f>I8/I9</f>
        <v>0</v>
      </c>
      <c r="L10" t="s">
        <v>27</v>
      </c>
    </row>
    <row r="11" spans="1:12">
      <c r="G11" s="7" t="s">
        <v>20</v>
      </c>
      <c r="H11" s="4" t="s">
        <v>12</v>
      </c>
      <c r="I11" s="1">
        <f>I7-(I6/I3)</f>
        <v>0</v>
      </c>
      <c r="L11" t="s">
        <v>28</v>
      </c>
    </row>
    <row r="12" spans="1:12">
      <c r="F12" t="s">
        <v>22</v>
      </c>
      <c r="G12" s="7" t="s">
        <v>21</v>
      </c>
      <c r="H12" s="4" t="s">
        <v>13</v>
      </c>
      <c r="I12" s="1" t="s">
        <v>23</v>
      </c>
    </row>
    <row r="13" spans="1:12" ht="15.75">
      <c r="L13" s="5" t="s">
        <v>34</v>
      </c>
    </row>
    <row r="14" spans="1:12" ht="15.75">
      <c r="L14" s="5" t="s">
        <v>35</v>
      </c>
    </row>
    <row r="15" spans="1:12" ht="15.75">
      <c r="L15" s="5" t="s">
        <v>36</v>
      </c>
    </row>
    <row r="16" spans="1:12" ht="15.75">
      <c r="L16" s="5" t="s">
        <v>37</v>
      </c>
    </row>
    <row r="17" spans="12:12" ht="15.75">
      <c r="L17" s="5" t="s">
        <v>38</v>
      </c>
    </row>
    <row r="18" spans="12:12" ht="15.75">
      <c r="L18" s="5" t="s">
        <v>39</v>
      </c>
    </row>
    <row r="19" spans="12:12" ht="15.75">
      <c r="L19" s="5" t="s">
        <v>40</v>
      </c>
    </row>
  </sheetData>
  <mergeCells count="2">
    <mergeCell ref="A2:B2"/>
    <mergeCell ref="G2:I2"/>
  </mergeCells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tabSelected="1" workbookViewId="0">
      <selection activeCell="I13" sqref="I13"/>
    </sheetView>
  </sheetViews>
  <sheetFormatPr defaultRowHeight="15"/>
  <cols>
    <col min="2" max="2" width="11" customWidth="1"/>
    <col min="6" max="6" width="5.85546875" customWidth="1"/>
    <col min="7" max="7" width="39.7109375" bestFit="1" customWidth="1"/>
  </cols>
  <sheetData>
    <row r="2" spans="1:12">
      <c r="A2" s="8" t="s">
        <v>45</v>
      </c>
      <c r="B2" s="8"/>
      <c r="G2" s="9" t="s">
        <v>42</v>
      </c>
      <c r="H2" s="9"/>
      <c r="I2" s="9"/>
      <c r="L2" t="s">
        <v>30</v>
      </c>
    </row>
    <row r="3" spans="1:12">
      <c r="A3" s="1" t="s">
        <v>0</v>
      </c>
      <c r="B3" s="1">
        <v>1</v>
      </c>
      <c r="E3">
        <v>2</v>
      </c>
      <c r="G3" s="6" t="s">
        <v>14</v>
      </c>
      <c r="H3" s="3" t="s">
        <v>5</v>
      </c>
      <c r="I3" s="1">
        <f>(B3-B7)/B4 - B6</f>
        <v>-1</v>
      </c>
      <c r="L3" t="s">
        <v>29</v>
      </c>
    </row>
    <row r="4" spans="1:12">
      <c r="A4" s="1" t="s">
        <v>1</v>
      </c>
      <c r="B4" s="1">
        <v>1</v>
      </c>
      <c r="E4">
        <v>3</v>
      </c>
      <c r="G4" s="6" t="s">
        <v>43</v>
      </c>
      <c r="H4" s="3" t="s">
        <v>47</v>
      </c>
      <c r="I4" s="1">
        <f>I3*B4/B5</f>
        <v>-1</v>
      </c>
      <c r="L4" t="s">
        <v>25</v>
      </c>
    </row>
    <row r="5" spans="1:12">
      <c r="A5" s="2" t="s">
        <v>2</v>
      </c>
      <c r="B5" s="1">
        <v>1</v>
      </c>
      <c r="E5">
        <v>4</v>
      </c>
      <c r="G5" s="6" t="s">
        <v>48</v>
      </c>
      <c r="H5" s="3" t="s">
        <v>46</v>
      </c>
      <c r="I5" s="1">
        <f>I4*(B3-B7)/B6</f>
        <v>0</v>
      </c>
      <c r="L5" t="s">
        <v>31</v>
      </c>
    </row>
    <row r="6" spans="1:12">
      <c r="A6" s="2" t="s">
        <v>3</v>
      </c>
      <c r="B6" s="1">
        <v>1</v>
      </c>
      <c r="E6">
        <v>5</v>
      </c>
      <c r="G6" s="6" t="s">
        <v>51</v>
      </c>
      <c r="H6" s="3" t="s">
        <v>12</v>
      </c>
      <c r="I6" s="1">
        <v>0</v>
      </c>
      <c r="L6" t="s">
        <v>32</v>
      </c>
    </row>
    <row r="7" spans="1:12">
      <c r="A7" s="2" t="s">
        <v>4</v>
      </c>
      <c r="B7" s="1">
        <v>1</v>
      </c>
      <c r="E7">
        <v>6</v>
      </c>
      <c r="F7" t="s">
        <v>49</v>
      </c>
      <c r="G7" s="6" t="s">
        <v>50</v>
      </c>
      <c r="H7" s="3" t="s">
        <v>13</v>
      </c>
      <c r="I7" s="1" t="e">
        <f>((B3-B7)*I3 - (B6*I3*I6/I4))/(I4*(B6+I3))</f>
        <v>#DIV/0!</v>
      </c>
    </row>
    <row r="8" spans="1:12">
      <c r="E8">
        <v>7</v>
      </c>
      <c r="G8" s="6" t="s">
        <v>15</v>
      </c>
      <c r="H8" s="3" t="s">
        <v>7</v>
      </c>
      <c r="I8" s="1" t="e">
        <f>I4*I7</f>
        <v>#DIV/0!</v>
      </c>
      <c r="L8" t="s">
        <v>33</v>
      </c>
    </row>
    <row r="9" spans="1:12">
      <c r="E9">
        <v>8</v>
      </c>
      <c r="G9" s="6" t="s">
        <v>16</v>
      </c>
      <c r="H9" s="3" t="s">
        <v>8</v>
      </c>
      <c r="I9" s="1" t="e">
        <f>(B3-B7-I8)/B6</f>
        <v>#DIV/0!</v>
      </c>
      <c r="L9" t="s">
        <v>26</v>
      </c>
    </row>
    <row r="10" spans="1:12">
      <c r="E10">
        <v>9</v>
      </c>
      <c r="G10" s="6" t="s">
        <v>53</v>
      </c>
      <c r="H10" s="3" t="s">
        <v>9</v>
      </c>
      <c r="I10" s="1" t="e">
        <f>I6*I7</f>
        <v>#DIV/0!</v>
      </c>
      <c r="L10" t="s">
        <v>27</v>
      </c>
    </row>
    <row r="11" spans="1:12">
      <c r="E11">
        <v>10</v>
      </c>
      <c r="G11" s="6" t="s">
        <v>18</v>
      </c>
      <c r="H11" s="3" t="s">
        <v>10</v>
      </c>
      <c r="I11" s="1" t="e">
        <f>B3*I9</f>
        <v>#DIV/0!</v>
      </c>
      <c r="L11" t="s">
        <v>28</v>
      </c>
    </row>
    <row r="12" spans="1:12">
      <c r="E12">
        <v>11</v>
      </c>
      <c r="G12" s="7" t="s">
        <v>19</v>
      </c>
      <c r="H12" s="4" t="s">
        <v>11</v>
      </c>
      <c r="I12" s="1" t="e">
        <f>I10/I11</f>
        <v>#DIV/0!</v>
      </c>
    </row>
    <row r="13" spans="1:12" ht="15.75">
      <c r="E13">
        <v>12</v>
      </c>
      <c r="F13" t="s">
        <v>22</v>
      </c>
      <c r="G13" s="7" t="s">
        <v>52</v>
      </c>
      <c r="H13" s="4" t="s">
        <v>12</v>
      </c>
      <c r="I13" s="1" t="s">
        <v>23</v>
      </c>
      <c r="L13" s="5" t="s">
        <v>34</v>
      </c>
    </row>
    <row r="14" spans="1:12" ht="15.75">
      <c r="L14" s="5" t="s">
        <v>35</v>
      </c>
    </row>
    <row r="15" spans="1:12" ht="15.75">
      <c r="L15" s="5" t="s">
        <v>36</v>
      </c>
    </row>
    <row r="16" spans="1:12" ht="15.75">
      <c r="L16" s="5" t="s">
        <v>37</v>
      </c>
    </row>
    <row r="17" spans="12:12" ht="15.75">
      <c r="L17" s="5" t="s">
        <v>38</v>
      </c>
    </row>
    <row r="18" spans="12:12" ht="15.75">
      <c r="L18" s="5" t="s">
        <v>39</v>
      </c>
    </row>
    <row r="19" spans="12:12" ht="15.75">
      <c r="L19" s="5" t="s">
        <v>40</v>
      </c>
    </row>
  </sheetData>
  <mergeCells count="2">
    <mergeCell ref="A2:B2"/>
    <mergeCell ref="G2:I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Velocidade</vt:lpstr>
      <vt:lpstr>Torque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Arthur da Rocha Almeida</dc:creator>
  <cp:lastModifiedBy>Charles Arthur da Rocha Almeida</cp:lastModifiedBy>
  <dcterms:created xsi:type="dcterms:W3CDTF">2015-04-28T10:56:23Z</dcterms:created>
  <dcterms:modified xsi:type="dcterms:W3CDTF">2015-04-28T18:47:13Z</dcterms:modified>
</cp:coreProperties>
</file>